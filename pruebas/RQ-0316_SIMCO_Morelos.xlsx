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<sst xmlns="http://schemas.openxmlformats.org/spreadsheetml/2006/main" count="23" uniqueCount="19">
  <si>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REQUISICION DE INSUMOS — SIMCO</t>
  </si>
  <si>
    <t xml:space="preserve">RQ-0316  |  CPS 16 Morelos — Prueba 4: excepcion vigente e items mixtos</t>
  </si>
  <si>
    <t xml:space="preserve">Bien o Servicio requerido</t>
  </si>
  <si>
    <t xml:space="preserve">Cantidad</t>
  </si>
  <si>
    <t xml:space="preserve">Unidad</t>
  </si>
  <si>
    <t xml:space="preserve">Precio unitario</t>
  </si>
  <si>
    <t xml:space="preserve">Importe</t>
  </si>
  <si>
    <t xml:space="preserve">Llanta rin 22.5 para Freightliner M2 2016 con brazo hidraulico HIAB</t>
  </si>
  <si>
    <t xml:space="preserve">PIEZA</t>
  </si>
  <si>
    <t xml:space="preserve">Llanta rin 16 para camioneta JAC Sunray 2022</t>
  </si>
  <si>
    <t xml:space="preserve">Refaccion para equipo de lavanderia</t>
  </si>
  <si>
    <t xml:space="preserve">Suministro e instalacion de motor WEG 1HP 230-460 3PH</t>
  </si>
  <si>
    <t xml:space="preserve">SERVICIO</t>
  </si>
  <si>
    <t xml:space="preserve">Compresor Scroll 7.5 TR 440-460V 3 Fases 60 Hz R-410A</t>
  </si>
  <si>
    <t xml:space="preserve">Gas refrigerante 404A marca Gefrieren 10.9 kg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</si>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</sst>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</v>
      </c>
      <c r="C5" s="5" t="s">
        <v>8</v>
      </c>
      <c r="D5" s="6" t="n">
        <v>8900</v>
      </c>
      <c r="E5" s="6" t="n">
        <f aca="false">B5*D5</f>
        <v>17800</v>
      </c>
    </row>
    <row r="6" customFormat="false" ht="15" hidden="false" customHeight="false" outlineLevel="0" collapsed="false">
      <c r="A6" s="4" t="s">
        <v>9</v>
      </c>
      <c r="B6" s="5" t="n">
        <v>4</v>
      </c>
      <c r="C6" s="5" t="s">
        <v>8</v>
      </c>
      <c r="D6" s="6" t="n">
        <v>3100</v>
      </c>
      <c r="E6" s="6" t="n">
        <f aca="false">B6*D6</f>
        <v>12400</v>
      </c>
    </row>
    <row r="7" customFormat="false" ht="15" hidden="false" customHeight="false" outlineLevel="0" collapsed="false">
      <c r="A7" s="4" t="s">
        <v>10</v>
      </c>
      <c r="B7" s="5" t="n">
        <v>1</v>
      </c>
      <c r="C7" s="5" t="s">
        <v>8</v>
      </c>
      <c r="D7" s="6" t="n">
        <v>0</v>
      </c>
      <c r="E7" s="6" t="n">
        <f aca="false">B7*D7</f>
        <v>0</v>
      </c>
    </row>
    <row r="8" customFormat="false" ht="15" hidden="false" customHeight="false" outlineLevel="0" collapsed="false">
      <c r="A8" s="4" t="s">
        <v>11</v>
      </c>
      <c r="B8" s="5" t="n">
        <v>1</v>
      </c>
      <c r="C8" s="5" t="s">
        <v>12</v>
      </c>
      <c r="D8" s="6" t="n">
        <v>18500</v>
      </c>
      <c r="E8" s="6" t="n">
        <f aca="false">B8*D8</f>
        <v>18500</v>
      </c>
    </row>
    <row r="9" customFormat="false" ht="15" hidden="false" customHeight="false" outlineLevel="0" collapsed="false">
      <c r="A9" s="4" t="s">
        <v>13</v>
      </c>
      <c r="B9" s="5" t="n">
        <v>1</v>
      </c>
      <c r="C9" s="5" t="s">
        <v>8</v>
      </c>
      <c r="D9" s="6" t="n">
        <v>48900</v>
      </c>
      <c r="E9" s="6" t="n">
        <f aca="false">B9*D9</f>
        <v>48900</v>
      </c>
    </row>
    <row r="10" customFormat="false" ht="15" hidden="false" customHeight="false" outlineLevel="0" collapsed="false">
      <c r="A10" s="4" t="s">
        <v>14</v>
      </c>
      <c r="B10" s="5" t="n">
        <v>4</v>
      </c>
      <c r="C10" s="5" t="s">
        <v>8</v>
      </c>
      <c r="D10" s="6" t="n">
        <v>5400</v>
      </c>
      <c r="E10" s="6" t="n">
        <f aca="false">B10*D10</f>
        <v>21600</v>
      </c>
    </row>
    <row r="11" customFormat="false" ht="15" hidden="false" customHeight="false" outlineLevel="0" collapsed="false">
      <c r="D11" s="7" t="s">
        <v>15</v>
      </c>
      <c r="E11" s="8" t="n">
        <f aca="false">SUM(E5:E10)</f>
        <v>119200</v>
      </c>
    </row>
    <row r="12" customFormat="false" ht="15" hidden="false" customHeight="false" outlineLevel="0" collapsed="false">
      <c r="D12" s="7" t="s">
        <v>16</v>
      </c>
      <c r="E12" s="8" t="n">
        <f aca="false">E11*0.16</f>
        <v>19072</v>
      </c>
    </row>
    <row r="13" customFormat="false" ht="15" hidden="false" customHeight="false" outlineLevel="0" collapsed="false">
      <c r="D13" s="9" t="s">
        <v>17</v>
      </c>
      <c r="E13" s="10" t="n">
        <f aca="false">E11+E12</f>
        <v>138272</v>
      </c>
    </row>
    <row r="15" customFormat="false" ht="15" hidden="false" customHeight="false" outlineLevel="0" collapsed="false">
      <c r="A15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2026-09-24T23:47:24Z</dcterms:created>
  <dc:creator>openpyxl</dc:creator>
  <dc:description/>
  <dc:language>en-US</dc:language>
  <cp:lastModifiedBy/>
  <dcterms:modified xsi:type="dcterms:W3CDTF">2026-09-24T23:47:24Z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