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quisicio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<sst xmlns="http://schemas.openxmlformats.org/spreadsheetml/2006/main" count="23" uniqueCount="21">
  <si>
    <t xml:space="preserve">REQUISICION DE INSUMOS — SIMCO</t>
  </si>
  <si>
    <t xml:space="preserve">RQ-0320  |  CPS 15 Chiapas — Ejecucion para video demo</t>
  </si>
  <si>
    <t xml:space="preserve">Bien o Servicio requerido</t>
  </si>
  <si>
    <t xml:space="preserve">Cantidad</t>
  </si>
  <si>
    <t xml:space="preserve">Unidad</t>
  </si>
  <si>
    <t xml:space="preserve">Precio unitario</t>
  </si>
  <si>
    <t xml:space="preserve">Importe</t>
  </si>
  <si>
    <t xml:space="preserve">Cemento gris bulto de 50 kg</t>
  </si>
  <si>
    <t xml:space="preserve">BULTO</t>
  </si>
  <si>
    <t xml:space="preserve">Llanta rin 15 para Nissan NP-300</t>
  </si>
  <si>
    <t xml:space="preserve">PIEZA</t>
  </si>
  <si>
    <t xml:space="preserve">Juego de balatas delanteras para Nissan Urvan 2016</t>
  </si>
  <si>
    <t xml:space="preserve">JUEGO</t>
  </si>
  <si>
    <t xml:space="preserve">Filtro de aceite para Ford Transit 2015</t>
  </si>
  <si>
    <t xml:space="preserve">Tarjeta electronica de control para elevador TEC modelo VF-220</t>
  </si>
  <si>
    <t xml:space="preserve">Mantenimiento correctivo de compresor Scroll 7.5 TR incluyendo suministro e instalacion</t>
  </si>
  <si>
    <t xml:space="preserve">SERVICIO</t>
  </si>
  <si>
    <t xml:space="preserve">SUBTOTAL (MXN)</t>
  </si>
  <si>
    <t xml:space="preserve">IVA 16%</t>
  </si>
  <si>
    <t xml:space="preserve">TOTAL (MXN)</t>
  </si>
  <si>
    <t xml:space="preserve">Nota: el flujo automatizado clasifica sobre el subtotal sin IVA. Precios de referencia, no cotizados.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</si>
</sst>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i val="true"/>
      <sz val="8"/>
      <color rgb="FF80808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5" min="4" style="0" width="16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15" hidden="false" customHeight="false" outlineLevel="0" collapsed="false">
      <c r="A5" s="4" t="s">
        <v>7</v>
      </c>
      <c r="B5" s="5" t="n">
        <v>30</v>
      </c>
      <c r="C5" s="5" t="s">
        <v>8</v>
      </c>
      <c r="D5" s="6" t="n">
        <v>245</v>
      </c>
      <c r="E5" s="6" t="n">
        <f aca="false">B5*D5</f>
        <v>7350</v>
      </c>
    </row>
    <row r="6" customFormat="false" ht="15" hidden="false" customHeight="false" outlineLevel="0" collapsed="false">
      <c r="A6" s="4" t="s">
        <v>9</v>
      </c>
      <c r="B6" s="5" t="n">
        <v>4</v>
      </c>
      <c r="C6" s="5" t="s">
        <v>10</v>
      </c>
      <c r="D6" s="6" t="n">
        <v>2850</v>
      </c>
      <c r="E6" s="6" t="n">
        <f aca="false">B6*D6</f>
        <v>11400</v>
      </c>
    </row>
    <row r="7" customFormat="false" ht="15" hidden="false" customHeight="false" outlineLevel="0" collapsed="false">
      <c r="A7" s="4" t="s">
        <v>11</v>
      </c>
      <c r="B7" s="5" t="n">
        <v>2</v>
      </c>
      <c r="C7" s="5" t="s">
        <v>12</v>
      </c>
      <c r="D7" s="6" t="n">
        <v>1650</v>
      </c>
      <c r="E7" s="6" t="n">
        <f aca="false">B7*D7</f>
        <v>3300</v>
      </c>
    </row>
    <row r="8" customFormat="false" ht="15" hidden="false" customHeight="false" outlineLevel="0" collapsed="false">
      <c r="A8" s="4" t="s">
        <v>13</v>
      </c>
      <c r="B8" s="5" t="n">
        <v>6</v>
      </c>
      <c r="C8" s="5" t="s">
        <v>10</v>
      </c>
      <c r="D8" s="6" t="n">
        <v>420</v>
      </c>
      <c r="E8" s="6" t="n">
        <f aca="false">B8*D8</f>
        <v>2520</v>
      </c>
    </row>
    <row r="9" customFormat="false" ht="15" hidden="false" customHeight="false" outlineLevel="0" collapsed="false">
      <c r="A9" s="4" t="s">
        <v>14</v>
      </c>
      <c r="B9" s="5" t="n">
        <v>1</v>
      </c>
      <c r="C9" s="5" t="s">
        <v>10</v>
      </c>
      <c r="D9" s="6" t="n">
        <v>34500</v>
      </c>
      <c r="E9" s="6" t="n">
        <f aca="false">B9*D9</f>
        <v>34500</v>
      </c>
    </row>
    <row r="10" customFormat="false" ht="23.85" hidden="false" customHeight="false" outlineLevel="0" collapsed="false">
      <c r="A10" s="4" t="s">
        <v>15</v>
      </c>
      <c r="B10" s="5" t="n">
        <v>1</v>
      </c>
      <c r="C10" s="5" t="s">
        <v>16</v>
      </c>
      <c r="D10" s="6" t="n">
        <v>62000</v>
      </c>
      <c r="E10" s="6" t="n">
        <f aca="false">B10*D10</f>
        <v>62000</v>
      </c>
    </row>
    <row r="11" customFormat="false" ht="15" hidden="false" customHeight="false" outlineLevel="0" collapsed="false">
      <c r="D11" s="7" t="s">
        <v>17</v>
      </c>
      <c r="E11" s="8" t="n">
        <f aca="false">SUM(E5:E10)</f>
        <v>121070</v>
      </c>
    </row>
    <row r="12" customFormat="false" ht="15" hidden="false" customHeight="false" outlineLevel="0" collapsed="false">
      <c r="D12" s="7" t="s">
        <v>18</v>
      </c>
      <c r="E12" s="8" t="n">
        <f aca="false">E11*0.16</f>
        <v>19371.2</v>
      </c>
    </row>
    <row r="13" customFormat="false" ht="15" hidden="false" customHeight="false" outlineLevel="0" collapsed="false">
      <c r="D13" s="9" t="s">
        <v>19</v>
      </c>
      <c r="E13" s="10" t="n">
        <f aca="false">E11+E12</f>
        <v>140441.2</v>
      </c>
    </row>
    <row r="15" customFormat="false" ht="15" hidden="false" customHeight="false" outlineLevel="0" collapsed="false">
      <c r="A15" s="11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2026-09-24T23:47:24Z</dcterms:created>
  <dc:creator>openpyxl</dc:creator>
  <dc:description/>
  <dc:language>en-US</dc:language>
  <cp:lastModifiedBy/>
  <dcterms:modified xsi:type="dcterms:W3CDTF">2026-09-24T23:47:24Z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