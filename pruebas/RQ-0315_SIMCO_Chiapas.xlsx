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<sst xmlns="http://schemas.openxmlformats.org/spreadsheetml/2006/main" count="17" uniqueCount="15">
  <si>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REQUISICION DE INSUMOS — SIMCO</t>
  </si>
  <si>
    <t xml:space="preserve">RQ-0315  |  CPS 15 Chiapas — Prueba 3: camino infeliz, sin descripciones</t>
  </si>
  <si>
    <t xml:space="preserve">Clave</t>
  </si>
  <si>
    <t xml:space="preserve">Cantidad</t>
  </si>
  <si>
    <t xml:space="preserve">Unidad</t>
  </si>
  <si>
    <t xml:space="preserve">Precio unitario</t>
  </si>
  <si>
    <t xml:space="preserve">Importe</t>
  </si>
  <si>
    <t xml:space="preserve">SKU-88421</t>
  </si>
  <si>
    <t xml:space="preserve">PIEZA</t>
  </si>
  <si>
    <t xml:space="preserve">SKU-88422</t>
  </si>
  <si>
    <t xml:space="preserve">SKU-88423</t>
  </si>
  <si>
    <t xml:space="preserve">SUBTOTAL (MXN)</t>
  </si>
  <si>
    <t xml:space="preserve">IVA 16%</t>
  </si>
  <si>
    <t xml:space="preserve">TOTAL (MXN)</t>
  </si>
  <si>
    <t xml:space="preserve">Nota: el flujo automatizado clasifica sobre el subtotal sin IVA. Precios de referencia, no cotizados.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</si>
</sst>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3</v>
      </c>
      <c r="C5" s="5" t="s">
        <v>8</v>
      </c>
      <c r="D5" s="6" t="n">
        <v>1200</v>
      </c>
      <c r="E5" s="6" t="n">
        <f aca="false">B5*D5</f>
        <v>3600</v>
      </c>
    </row>
    <row r="6" customFormat="false" ht="15" hidden="false" customHeight="false" outlineLevel="0" collapsed="false">
      <c r="A6" s="4" t="s">
        <v>9</v>
      </c>
      <c r="B6" s="5" t="n">
        <v>5</v>
      </c>
      <c r="C6" s="5" t="s">
        <v>8</v>
      </c>
      <c r="D6" s="6" t="n">
        <v>890</v>
      </c>
      <c r="E6" s="6" t="n">
        <f aca="false">B6*D6</f>
        <v>4450</v>
      </c>
    </row>
    <row r="7" customFormat="false" ht="15" hidden="false" customHeight="false" outlineLevel="0" collapsed="false">
      <c r="A7" s="4" t="s">
        <v>10</v>
      </c>
      <c r="B7" s="5" t="n">
        <v>2</v>
      </c>
      <c r="C7" s="5" t="s">
        <v>8</v>
      </c>
      <c r="D7" s="6" t="n">
        <v>4500</v>
      </c>
      <c r="E7" s="6" t="n">
        <f aca="false">B7*D7</f>
        <v>9000</v>
      </c>
    </row>
    <row r="8" customFormat="false" ht="15" hidden="false" customHeight="false" outlineLevel="0" collapsed="false">
      <c r="D8" s="7" t="s">
        <v>11</v>
      </c>
      <c r="E8" s="8" t="n">
        <f aca="false">SUM(E5:E7)</f>
        <v>17050</v>
      </c>
    </row>
    <row r="9" customFormat="false" ht="15" hidden="false" customHeight="false" outlineLevel="0" collapsed="false">
      <c r="D9" s="7" t="s">
        <v>12</v>
      </c>
      <c r="E9" s="8" t="n">
        <f aca="false">E8*0.16</f>
        <v>2728</v>
      </c>
    </row>
    <row r="10" customFormat="false" ht="15" hidden="false" customHeight="false" outlineLevel="0" collapsed="false">
      <c r="D10" s="9" t="s">
        <v>13</v>
      </c>
      <c r="E10" s="10" t="n">
        <f aca="false">E8+E9</f>
        <v>19778</v>
      </c>
    </row>
    <row r="12" customFormat="false" ht="15" hidden="false" customHeight="false" outlineLevel="0" collapsed="false">
      <c r="A12" s="1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2026-09-24T23:47:24Z</dcterms:created>
  <dc:creator>openpyxl</dc:creator>
  <dc:description/>
  <dc:language>en-US</dc:language>
  <cp:lastModifiedBy/>
  <dcterms:modified xsi:type="dcterms:W3CDTF">2026-09-24T23:47:24Z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